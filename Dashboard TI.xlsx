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yG\Documents\"/>
    </mc:Choice>
  </mc:AlternateContent>
  <xr:revisionPtr revIDLastSave="0" documentId="8_{1ADDD14E-FC1F-4436-8A45-A678561DF3D0}" xr6:coauthVersionLast="47" xr6:coauthVersionMax="47" xr10:uidLastSave="{00000000-0000-0000-0000-000000000000}"/>
  <bookViews>
    <workbookView xWindow="-108" yWindow="-108" windowWidth="23256" windowHeight="12456" xr2:uid="{1F2B3DBD-42E7-4B36-984F-1BE571BAF8BD}"/>
  </bookViews>
  <sheets>
    <sheet name="Performance_Individ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1" l="1"/>
  <c r="N4" i="1"/>
  <c r="N2" i="1"/>
  <c r="M2" i="1"/>
  <c r="M3" i="1"/>
  <c r="M4" i="1"/>
  <c r="L3" i="1"/>
  <c r="L4" i="1"/>
  <c r="L2" i="1"/>
  <c r="K3" i="1"/>
  <c r="K4" i="1"/>
  <c r="K2" i="1"/>
  <c r="J3" i="1"/>
  <c r="J4" i="1"/>
  <c r="J2" i="1"/>
  <c r="I3" i="1"/>
  <c r="I4" i="1"/>
  <c r="I2" i="1"/>
  <c r="H3" i="1"/>
  <c r="H4" i="1"/>
  <c r="H2" i="1"/>
</calcChain>
</file>

<file path=xl/sharedStrings.xml><?xml version="1.0" encoding="utf-8"?>
<sst xmlns="http://schemas.openxmlformats.org/spreadsheetml/2006/main" count="17" uniqueCount="17">
  <si>
    <t>Tickets</t>
  </si>
  <si>
    <t>Tempo</t>
  </si>
  <si>
    <t>SLA</t>
  </si>
  <si>
    <t>Reabertos</t>
  </si>
  <si>
    <t>Docs</t>
  </si>
  <si>
    <t>Oportunidades</t>
  </si>
  <si>
    <t>Score_Tickets</t>
  </si>
  <si>
    <t>Score_Tempo</t>
  </si>
  <si>
    <t>Score_SLA</t>
  </si>
  <si>
    <t>Score_Reabertos</t>
  </si>
  <si>
    <t>Score_Docs</t>
  </si>
  <si>
    <t xml:space="preserve">Score_Final </t>
  </si>
  <si>
    <t>Edvanio Manuel</t>
  </si>
  <si>
    <t>Avelino Raposo</t>
  </si>
  <si>
    <t>Micaela Chindombe</t>
  </si>
  <si>
    <t>Tecnico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</si>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</sst>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A1D8-EDC2-4BA9-BD52-C5F1920FA430}">
  <dimension ref="A1:N4"/>
  <sheetViews>
    <sheetView tabSelected="1" workbookViewId="0">
      <selection activeCell="N2" sqref="N2:N4"/>
    </sheetView>
  </sheetViews>
  <sheetFormatPr defaultRowHeight="14.4" x14ac:dyDescent="0.3"/>
  <cols>
    <col min="1" max="1" width="17" customWidth="1"/>
    <col min="7" max="7" width="12.88671875" bestFit="1" customWidth="1"/>
    <col min="8" max="8" width="12.109375" bestFit="1" customWidth="1"/>
    <col min="9" max="9" width="11.88671875" bestFit="1" customWidth="1"/>
    <col min="10" max="10" width="9.44140625" bestFit="1" customWidth="1"/>
    <col min="11" max="11" width="14.77734375" bestFit="1" customWidth="1"/>
    <col min="12" max="12" width="10.5546875" bestFit="1" customWidth="1"/>
    <col min="13" max="13" width="10.6640625" bestFit="1" customWidth="1"/>
  </cols>
  <sheetData>
    <row r="1" spans="1:14" x14ac:dyDescent="0.3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16</v>
      </c>
    </row>
    <row r="2" spans="1:14" x14ac:dyDescent="0.3">
      <c r="A2" t="s">
        <v>12</v>
      </c>
      <c r="H2" t="e">
        <f xml:space="preserve"> (B2 / MAX($B$2:$B$100)) * 100</f>
        <v>#DIV/0!</v>
      </c>
      <c r="I2" t="e">
        <f xml:space="preserve"> (MIN($C$2:$C$100) / C2) * 100</f>
        <v>#DIV/0!</v>
      </c>
      <c r="J2">
        <f xml:space="preserve"> D2</f>
        <v>0</v>
      </c>
      <c r="K2">
        <f xml:space="preserve"> IF(E2=0,100,(MIN($E$2:$E$100)/E2)*100)</f>
        <v>100</v>
      </c>
      <c r="L2" t="e">
        <f xml:space="preserve"> (F2 / MAX($F$2:$F$100)) * 100</f>
        <v>#DIV/0!</v>
      </c>
      <c r="M2" t="e">
        <f t="shared" ref="M2:M4" si="0" xml:space="preserve"> (H2*0.4) + (I2*0.2) + (J2*0.2) + (K2*0.1) + (L2*0.1)</f>
        <v>#DIV/0!</v>
      </c>
      <c r="N2" t="e">
        <f>RANK(M2,$M$2:$M$100,0)</f>
        <v>#DIV/0!</v>
      </c>
    </row>
    <row r="3" spans="1:14" x14ac:dyDescent="0.3">
      <c r="A3" t="s">
        <v>13</v>
      </c>
      <c r="H3" t="e">
        <f t="shared" ref="H3:H4" si="1" xml:space="preserve"> (B3 / MAX($B$2:$B$100)) * 100</f>
        <v>#DIV/0!</v>
      </c>
      <c r="I3" t="e">
        <f t="shared" ref="I3:I4" si="2" xml:space="preserve"> (MIN($C$2:$C$100) / C3) * 100</f>
        <v>#DIV/0!</v>
      </c>
      <c r="J3">
        <f t="shared" ref="J3:J4" si="3" xml:space="preserve"> D3</f>
        <v>0</v>
      </c>
      <c r="K3">
        <f t="shared" ref="K3:K4" si="4" xml:space="preserve"> IF(E3=0,100,(MIN($E$2:$E$100)/E3)*100)</f>
        <v>100</v>
      </c>
      <c r="L3" t="e">
        <f t="shared" ref="L3:L4" si="5" xml:space="preserve"> (F3 / MAX($F$2:$F$100)) * 100</f>
        <v>#DIV/0!</v>
      </c>
      <c r="M3" t="e">
        <f t="shared" si="0"/>
        <v>#DIV/0!</v>
      </c>
      <c r="N3" t="e">
        <f t="shared" ref="N3:N4" si="6">RANK(M3,$M$2:$M$100,0)</f>
        <v>#DIV/0!</v>
      </c>
    </row>
    <row r="4" spans="1:14" x14ac:dyDescent="0.3">
      <c r="A4" t="s">
        <v>14</v>
      </c>
      <c r="H4" t="e">
        <f t="shared" si="1"/>
        <v>#DIV/0!</v>
      </c>
      <c r="I4" t="e">
        <f t="shared" si="2"/>
        <v>#DIV/0!</v>
      </c>
      <c r="J4">
        <f t="shared" si="3"/>
        <v>0</v>
      </c>
      <c r="K4">
        <f t="shared" si="4"/>
        <v>100</v>
      </c>
      <c r="L4" t="e">
        <f t="shared" si="5"/>
        <v>#DIV/0!</v>
      </c>
      <c r="M4" t="e">
        <f t="shared" si="0"/>
        <v>#DIV/0!</v>
      </c>
      <c r="N4" t="e">
        <f t="shared" si="6"/>
        <v>#DIV/0!</v>
      </c>
    </row>
  </sheetData>
  <conditionalFormatting sqref="M2:M22">
    <cfRule type="cellIs" dxfId="0" priority="1" operator="greaterThan">
      <formula>85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Kounta Guerra</dc:creator>
  <cp:lastModifiedBy>Kounta Guerra</cp:lastModifiedBy>
  <dcterms:created xsi:type="dcterms:W3CDTF">2026-04-28T09:02:02Z</dcterms:created>
  <dcterms:modified xsi:type="dcterms:W3CDTF">2026-04-28T10:16:31Z</dcterms:modified>
</cp:coreProperties>
</file>